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xampp\htdocs\IPRings\"/>
    </mc:Choice>
  </mc:AlternateContent>
  <xr:revisionPtr revIDLastSave="0" documentId="13_ncr:1_{F4E5F3AA-81F1-40C2-A046-DADA0B880E7C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QR Code packing matrix with wei" sheetId="2" r:id="rId1"/>
    <sheet name="QR Code packing matrix" sheetId="1" r:id="rId2"/>
    <sheet name="invoice csv formate field" sheetId="3" r:id="rId3"/>
    <sheet name="Sheet1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" i="2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2" i="4"/>
</calcChain>
</file>

<file path=xl/sharedStrings.xml><?xml version="1.0" encoding="utf-8"?>
<sst xmlns="http://schemas.openxmlformats.org/spreadsheetml/2006/main" count="338" uniqueCount="167">
  <si>
    <t>Packing part list matrix</t>
  </si>
  <si>
    <t>#</t>
  </si>
  <si>
    <t>IPR Part no</t>
  </si>
  <si>
    <t>Customer part no</t>
  </si>
  <si>
    <t>Model</t>
  </si>
  <si>
    <t>Part qty/Primary carton box</t>
  </si>
  <si>
    <t>Primary Carton box qty/Master Carton Box</t>
  </si>
  <si>
    <t>Part qty/Master Carton box</t>
  </si>
  <si>
    <t>Remarks</t>
  </si>
  <si>
    <t>JL GEN</t>
  </si>
  <si>
    <t>JL</t>
  </si>
  <si>
    <t>TREX</t>
  </si>
  <si>
    <t>P708 EDL</t>
  </si>
  <si>
    <t>P708</t>
  </si>
  <si>
    <t>N/A</t>
  </si>
  <si>
    <t>Sl.no</t>
  </si>
  <si>
    <t>Customer name</t>
  </si>
  <si>
    <t>ipr Ref no</t>
  </si>
  <si>
    <t>Qty</t>
  </si>
  <si>
    <t>Min Weight</t>
  </si>
  <si>
    <t>Max Weight</t>
  </si>
  <si>
    <t xml:space="preserve">Dana </t>
  </si>
  <si>
    <t>AAM</t>
  </si>
  <si>
    <t>DAIPL</t>
  </si>
  <si>
    <t>AAM Polland</t>
  </si>
  <si>
    <t>BILLING DOCUMENT</t>
  </si>
  <si>
    <t>BILLING DATE</t>
  </si>
  <si>
    <t>BILLING DOCUMENT TYP</t>
  </si>
  <si>
    <t>BILLING DES</t>
  </si>
  <si>
    <t>COMPANY CODE</t>
  </si>
  <si>
    <t>SALES ORDER</t>
  </si>
  <si>
    <t>SALES ORDER ITEM</t>
  </si>
  <si>
    <t>CUSTOMER NO.</t>
  </si>
  <si>
    <t>CUSTOMER NAME</t>
  </si>
  <si>
    <t>CUSTOMER PO No.</t>
  </si>
  <si>
    <t>CUSTOMER PO Date</t>
  </si>
  <si>
    <t>SALES ORGANISATION</t>
  </si>
  <si>
    <t>DISTRIBUTION CHANNEL</t>
  </si>
  <si>
    <t>DIVISION</t>
  </si>
  <si>
    <t>PLANT</t>
  </si>
  <si>
    <t>ITEM CODE</t>
  </si>
  <si>
    <t>MATERIAL NAME</t>
  </si>
  <si>
    <t>MATERIAL DESCRIPTION</t>
  </si>
  <si>
    <t>CUSTOMER PART NUMBER</t>
  </si>
  <si>
    <t>CUSTOMER PART NAME</t>
  </si>
  <si>
    <t>INCOTERMS</t>
  </si>
  <si>
    <t>HSN/SAC</t>
  </si>
  <si>
    <t>COUNTRY NAME</t>
  </si>
  <si>
    <t>REGION</t>
  </si>
  <si>
    <t>ITEM VALUE</t>
  </si>
  <si>
    <t>DISCOUNT %</t>
  </si>
  <si>
    <t>BILLED QTY</t>
  </si>
  <si>
    <t>ITEM_TOTALVALUE</t>
  </si>
  <si>
    <t>DISCOUNTED VALUE</t>
  </si>
  <si>
    <t>TOTAL VALUE AFTER DI</t>
  </si>
  <si>
    <t>CURRANCY</t>
  </si>
  <si>
    <t>FI DOCUMENT</t>
  </si>
  <si>
    <t>EXCHANGE RATE</t>
  </si>
  <si>
    <t>FINAL VALUE</t>
  </si>
  <si>
    <t>JOIG%</t>
  </si>
  <si>
    <t>JOIG TAX VALUE</t>
  </si>
  <si>
    <t>JOCG%</t>
  </si>
  <si>
    <t>JOCG TAX VALUE</t>
  </si>
  <si>
    <t>JOSG%</t>
  </si>
  <si>
    <t>JOSG TAX VALUE</t>
  </si>
  <si>
    <t>TOTAL TAX ITEM WISE</t>
  </si>
  <si>
    <t>PACKING COST</t>
  </si>
  <si>
    <t>TOTAL PACKING COST</t>
  </si>
  <si>
    <t>TOTAL TCS/SALE</t>
  </si>
  <si>
    <t>TCS TAX/SALES%</t>
  </si>
  <si>
    <t>TCS TAX /SCRAP%</t>
  </si>
  <si>
    <t>TOTAL TCS/SCRAP</t>
  </si>
  <si>
    <t>TOTAL INV VALUE</t>
  </si>
  <si>
    <t>IRN NO.</t>
  </si>
  <si>
    <t>TRANSPORTER NAME</t>
  </si>
  <si>
    <t>TRANSPORT MODE</t>
  </si>
  <si>
    <t>TRANSPORTER NO.</t>
  </si>
  <si>
    <t>TRANSPORT DATE</t>
  </si>
  <si>
    <t>VECHILE NO.</t>
  </si>
  <si>
    <t>EWAY BILL NO.</t>
  </si>
  <si>
    <t>EWAY BILL DT</t>
  </si>
  <si>
    <t>LR NO.</t>
  </si>
  <si>
    <t>LR DATE</t>
  </si>
  <si>
    <t>GRN NO.</t>
  </si>
  <si>
    <t>GRN DATE</t>
  </si>
  <si>
    <t>REMARKS</t>
  </si>
  <si>
    <t>COMPANY_CODE</t>
  </si>
  <si>
    <t>SALES_ORDER</t>
  </si>
  <si>
    <t>SALES_ORDER_ITEM</t>
  </si>
  <si>
    <t>CUSTOMER_NO.</t>
  </si>
  <si>
    <t>CUSTOMER_NAME</t>
  </si>
  <si>
    <t>CUSTOMER_PO_No.</t>
  </si>
  <si>
    <t>CUSTOMER_PO_Date</t>
  </si>
  <si>
    <t>SALES_ORGANISATION</t>
  </si>
  <si>
    <t>DISTRIBUTION_CHANNEL</t>
  </si>
  <si>
    <t>ITEM_CODE</t>
  </si>
  <si>
    <t>MATERIAL_NAME</t>
  </si>
  <si>
    <t>MATERIAL_DESCRIPTION</t>
  </si>
  <si>
    <t>CUSTOMER_PART_NUMBER</t>
  </si>
  <si>
    <t>CUSTOMER_PART_NAME</t>
  </si>
  <si>
    <t>COUNTRY_NAME</t>
  </si>
  <si>
    <t>ITEM_VALUE</t>
  </si>
  <si>
    <t>BILLED_QTY</t>
  </si>
  <si>
    <t>DISCOUNTED_VALUE</t>
  </si>
  <si>
    <t>TOTAL_VALUE_AFTER_DI</t>
  </si>
  <si>
    <t>FI_DOCUMENT</t>
  </si>
  <si>
    <t>EXCHANGE_RATE</t>
  </si>
  <si>
    <t>FINAL_VALUE</t>
  </si>
  <si>
    <t>JOIG_TAX_VALUE</t>
  </si>
  <si>
    <t>JOCG_TAX_VALUE</t>
  </si>
  <si>
    <t>JOSG_TAX_VALUE</t>
  </si>
  <si>
    <t>TOTAL_TAX_ITEM_WISE</t>
  </si>
  <si>
    <t>PACKING_COST</t>
  </si>
  <si>
    <t>TOTAL_PACKING_COST</t>
  </si>
  <si>
    <t>TOTAL_TCS/SALE</t>
  </si>
  <si>
    <t>TOTAL_TCS/SCRAP</t>
  </si>
  <si>
    <t>TOTAL_INV_VALUE</t>
  </si>
  <si>
    <t>IRN_NO.</t>
  </si>
  <si>
    <t>TRANSPORTER_NAME</t>
  </si>
  <si>
    <t>TRANSPORT_MODE</t>
  </si>
  <si>
    <t>TRANSPORTER_NO.</t>
  </si>
  <si>
    <t>TRANSPORT_DATE</t>
  </si>
  <si>
    <t>VECHILE_NO.</t>
  </si>
  <si>
    <t>EWAY_BILL_NO.</t>
  </si>
  <si>
    <t>EWAY_BILL_DT</t>
  </si>
  <si>
    <t>LR_NO.</t>
  </si>
  <si>
    <t>LR_DATE</t>
  </si>
  <si>
    <t>GRN_NO.</t>
  </si>
  <si>
    <t>GRN_DATE</t>
  </si>
  <si>
    <t>DISCOUNT__PERCENT</t>
  </si>
  <si>
    <t>JOIG_PERCENT</t>
  </si>
  <si>
    <t>JOCG_PERCENT</t>
  </si>
  <si>
    <t>JOSG_PERCENT</t>
  </si>
  <si>
    <t>TCS_TAX/SALES_PERCENT</t>
  </si>
  <si>
    <t>TCS_TAX_/SCRAP_PERCENT</t>
  </si>
  <si>
    <t>$table-&gt;string('</t>
  </si>
  <si>
    <t>');</t>
  </si>
  <si>
    <t>matrial code</t>
  </si>
  <si>
    <t>14005007</t>
  </si>
  <si>
    <t>14005314</t>
  </si>
  <si>
    <t>14000025</t>
  </si>
  <si>
    <t>14000073</t>
  </si>
  <si>
    <t>14000021</t>
  </si>
  <si>
    <t>14004852</t>
  </si>
  <si>
    <t>14004854</t>
  </si>
  <si>
    <t>14000052</t>
  </si>
  <si>
    <t>14000057</t>
  </si>
  <si>
    <t>14000037</t>
  </si>
  <si>
    <t>14005094</t>
  </si>
  <si>
    <t>14000062</t>
  </si>
  <si>
    <t>14005372</t>
  </si>
  <si>
    <t>14005028</t>
  </si>
  <si>
    <t>14005002</t>
  </si>
  <si>
    <t>14005003</t>
  </si>
  <si>
    <t>14000106</t>
  </si>
  <si>
    <t>14004853</t>
  </si>
  <si>
    <t>14004954</t>
  </si>
  <si>
    <t>14000024</t>
  </si>
  <si>
    <t>14000015</t>
  </si>
  <si>
    <t>14000047</t>
  </si>
  <si>
    <t>14000059</t>
  </si>
  <si>
    <t>14000018</t>
  </si>
  <si>
    <t>14004851</t>
  </si>
  <si>
    <t>14000054</t>
  </si>
  <si>
    <t>14000020</t>
  </si>
  <si>
    <t>14000023</t>
  </si>
  <si>
    <t>14000074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</si>
</sst>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4" fillId="0" borderId="0" xfId="0" applyFont="1"/>
    <xf numFmtId="0" fontId="4" fillId="0" borderId="0" xfId="0" quotePrefix="1" applyFont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vertical="top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G9" sqref="G9"/>
    </sheetView>
  </sheetViews>
  <sheetFormatPr defaultColWidth="8.85546875" defaultRowHeight="15" x14ac:dyDescent="0.25"/>
  <cols>
    <col min="1" max="1" width="8.85546875" style="4"/>
    <col min="2" max="2" width="15.140625" style="4" bestFit="1" customWidth="1"/>
    <col min="3" max="3" width="16.42578125" style="4" bestFit="1" customWidth="1"/>
    <col min="4" max="4" width="13.5703125" style="4" customWidth="1"/>
    <col min="5" max="5" width="11.5703125" style="4" customWidth="1"/>
    <col min="6" max="6" width="15.5703125" style="4" customWidth="1"/>
    <col min="7" max="7" width="20.140625" style="4" customWidth="1"/>
    <col min="8" max="16384" width="8.85546875" style="4"/>
  </cols>
  <sheetData>
    <row r="1" spans="1:8" x14ac:dyDescent="0.25">
      <c r="A1" s="3" t="s">
        <v>15</v>
      </c>
      <c r="B1" s="3" t="s">
        <v>16</v>
      </c>
      <c r="C1" s="3" t="s">
        <v>3</v>
      </c>
      <c r="D1" s="3" t="s">
        <v>17</v>
      </c>
      <c r="E1" s="3" t="s">
        <v>18</v>
      </c>
      <c r="F1" s="3" t="s">
        <v>19</v>
      </c>
      <c r="G1" s="3" t="s">
        <v>20</v>
      </c>
    </row>
    <row r="2" spans="1:8" x14ac:dyDescent="0.25">
      <c r="A2" s="3">
        <v>1</v>
      </c>
      <c r="B2" s="3" t="s">
        <v>21</v>
      </c>
      <c r="C2" s="3">
        <v>10149080</v>
      </c>
      <c r="D2" s="3">
        <v>421</v>
      </c>
      <c r="E2" s="3">
        <v>40</v>
      </c>
      <c r="F2" s="3">
        <v>14.97</v>
      </c>
      <c r="G2" s="3">
        <v>15.25</v>
      </c>
      <c r="H2" s="4">
        <f>VLOOKUP(C2:C26,Sheet2!A:B,2,FALSE)</f>
        <v>24</v>
      </c>
    </row>
    <row r="3" spans="1:8" x14ac:dyDescent="0.25">
      <c r="A3" s="3">
        <v>2</v>
      </c>
      <c r="B3" s="3" t="s">
        <v>21</v>
      </c>
      <c r="C3" s="3">
        <v>100402090</v>
      </c>
      <c r="D3" s="3">
        <v>291</v>
      </c>
      <c r="E3" s="3">
        <v>40</v>
      </c>
      <c r="F3" s="3">
        <v>15.7</v>
      </c>
      <c r="G3" s="3">
        <v>16</v>
      </c>
      <c r="H3" s="4" t="e">
        <f>VLOOKUP(C3:C27,Sheet2!A:B,2,FALSE)</f>
        <v>#N/A</v>
      </c>
    </row>
    <row r="4" spans="1:8" x14ac:dyDescent="0.25">
      <c r="A4" s="3">
        <v>3</v>
      </c>
      <c r="B4" s="3" t="s">
        <v>21</v>
      </c>
      <c r="C4" s="3">
        <v>2006102</v>
      </c>
      <c r="D4" s="3">
        <v>213</v>
      </c>
      <c r="E4" s="3">
        <v>40</v>
      </c>
      <c r="F4" s="3">
        <v>16.239999999999998</v>
      </c>
      <c r="G4" s="3">
        <v>16.739999999999998</v>
      </c>
      <c r="H4" s="4">
        <f>VLOOKUP(C4:C28,Sheet2!A:B,2,FALSE)</f>
        <v>24</v>
      </c>
    </row>
    <row r="5" spans="1:8" x14ac:dyDescent="0.25">
      <c r="A5" s="3">
        <v>4</v>
      </c>
      <c r="B5" s="3" t="s">
        <v>21</v>
      </c>
      <c r="C5" s="3">
        <v>10306250</v>
      </c>
      <c r="D5" s="3">
        <v>464</v>
      </c>
      <c r="E5" s="3">
        <v>30</v>
      </c>
      <c r="F5" s="3">
        <v>17.899999999999999</v>
      </c>
      <c r="G5" s="3">
        <v>17.96</v>
      </c>
      <c r="H5" s="4">
        <f>VLOOKUP(C5:C29,Sheet2!A:B,2,FALSE)</f>
        <v>24</v>
      </c>
    </row>
    <row r="6" spans="1:8" x14ac:dyDescent="0.25">
      <c r="A6" s="3">
        <v>5</v>
      </c>
      <c r="B6" s="3" t="s">
        <v>22</v>
      </c>
      <c r="C6" s="3">
        <v>40225752</v>
      </c>
      <c r="D6" s="3">
        <v>427</v>
      </c>
      <c r="E6" s="3">
        <v>30</v>
      </c>
      <c r="F6" s="3">
        <v>13.63</v>
      </c>
      <c r="G6" s="3">
        <v>13.68</v>
      </c>
      <c r="H6" s="4" t="e">
        <f>VLOOKUP(C6:C30,Sheet2!A:B,2,FALSE)</f>
        <v>#N/A</v>
      </c>
    </row>
    <row r="7" spans="1:8" x14ac:dyDescent="0.25">
      <c r="A7" s="3">
        <v>6</v>
      </c>
      <c r="B7" s="3" t="s">
        <v>23</v>
      </c>
      <c r="C7" s="3">
        <v>10129664</v>
      </c>
      <c r="D7" s="3">
        <v>362</v>
      </c>
      <c r="E7" s="3">
        <v>100</v>
      </c>
      <c r="F7" s="3">
        <v>18.2</v>
      </c>
      <c r="G7" s="3">
        <v>18.260000000000002</v>
      </c>
      <c r="H7" s="4" t="e">
        <f>VLOOKUP(C7:C31,Sheet2!A:B,2,FALSE)</f>
        <v>#N/A</v>
      </c>
    </row>
    <row r="8" spans="1:8" x14ac:dyDescent="0.25">
      <c r="A8" s="3">
        <v>7</v>
      </c>
      <c r="B8" s="3" t="s">
        <v>21</v>
      </c>
      <c r="C8" s="3">
        <v>10026815</v>
      </c>
      <c r="D8" s="5">
        <v>263</v>
      </c>
      <c r="E8" s="3">
        <v>40</v>
      </c>
      <c r="F8" s="6">
        <v>16.64</v>
      </c>
      <c r="G8" s="6">
        <v>17.148425</v>
      </c>
      <c r="H8" s="4">
        <f>VLOOKUP(C8:C32,Sheet2!A:B,2,FALSE)</f>
        <v>24</v>
      </c>
    </row>
    <row r="9" spans="1:8" x14ac:dyDescent="0.25">
      <c r="A9" s="3">
        <v>8</v>
      </c>
      <c r="B9" s="3" t="s">
        <v>21</v>
      </c>
      <c r="C9" s="3">
        <v>2006101</v>
      </c>
      <c r="D9" s="5">
        <v>214</v>
      </c>
      <c r="E9" s="3">
        <v>40</v>
      </c>
      <c r="F9" s="6">
        <v>11.82985</v>
      </c>
      <c r="G9" s="6">
        <v>12.190149999999999</v>
      </c>
      <c r="H9" s="4">
        <f>VLOOKUP(C9:C33,Sheet2!A:B,2,FALSE)</f>
        <v>45</v>
      </c>
    </row>
    <row r="10" spans="1:8" x14ac:dyDescent="0.25">
      <c r="A10" s="3">
        <v>9</v>
      </c>
      <c r="B10" s="3" t="s">
        <v>21</v>
      </c>
      <c r="C10" s="3">
        <v>10116943</v>
      </c>
      <c r="D10" s="5">
        <v>356</v>
      </c>
      <c r="E10" s="3">
        <v>30</v>
      </c>
      <c r="F10" s="6">
        <v>18.2225</v>
      </c>
      <c r="G10" s="6">
        <v>18.7775</v>
      </c>
      <c r="H10" s="4">
        <f>VLOOKUP(C10:C34,Sheet2!A:B,2,FALSE)</f>
        <v>24</v>
      </c>
    </row>
    <row r="11" spans="1:8" x14ac:dyDescent="0.25">
      <c r="A11" s="3">
        <v>10</v>
      </c>
      <c r="B11" s="3" t="s">
        <v>21</v>
      </c>
      <c r="C11" s="3">
        <v>10116941</v>
      </c>
      <c r="D11" s="5">
        <v>357</v>
      </c>
      <c r="E11" s="3">
        <v>20</v>
      </c>
      <c r="F11" s="6">
        <v>18.665750000000003</v>
      </c>
      <c r="G11" s="6">
        <v>19.234250000000003</v>
      </c>
      <c r="H11" s="4">
        <f>VLOOKUP(C11:C35,Sheet2!A:B,2,FALSE)</f>
        <v>24</v>
      </c>
    </row>
    <row r="12" spans="1:8" x14ac:dyDescent="0.25">
      <c r="A12" s="3">
        <v>11</v>
      </c>
      <c r="B12" s="3" t="s">
        <v>21</v>
      </c>
      <c r="C12" s="3">
        <v>10116937</v>
      </c>
      <c r="D12" s="5">
        <v>358</v>
      </c>
      <c r="E12" s="3">
        <v>30</v>
      </c>
      <c r="F12" s="6">
        <v>22.453075000000002</v>
      </c>
      <c r="G12" s="6">
        <v>23.136925000000002</v>
      </c>
      <c r="H12" s="4">
        <f>VLOOKUP(C12:C36,Sheet2!A:B,2,FALSE)</f>
        <v>24</v>
      </c>
    </row>
    <row r="13" spans="1:8" x14ac:dyDescent="0.25">
      <c r="A13" s="3">
        <v>12</v>
      </c>
      <c r="B13" s="3" t="s">
        <v>21</v>
      </c>
      <c r="C13" s="3">
        <v>10116939</v>
      </c>
      <c r="D13" s="5">
        <v>359</v>
      </c>
      <c r="E13" s="3">
        <v>40</v>
      </c>
      <c r="F13" s="6">
        <v>15.459575000000001</v>
      </c>
      <c r="G13" s="6">
        <v>15.930425</v>
      </c>
      <c r="H13" s="4">
        <f>VLOOKUP(C13:C37,Sheet2!A:B,2,FALSE)</f>
        <v>24</v>
      </c>
    </row>
    <row r="14" spans="1:8" x14ac:dyDescent="0.25">
      <c r="A14" s="3">
        <v>13</v>
      </c>
      <c r="B14" s="3" t="s">
        <v>21</v>
      </c>
      <c r="C14" s="3">
        <v>10141970</v>
      </c>
      <c r="D14" s="5">
        <v>385</v>
      </c>
      <c r="E14" s="3">
        <v>40</v>
      </c>
      <c r="F14" s="6">
        <v>15.907750000000002</v>
      </c>
      <c r="G14" s="6">
        <v>16.392250000000001</v>
      </c>
      <c r="H14" s="4" t="e">
        <f>VLOOKUP(C14:C38,Sheet2!A:B,2,FALSE)</f>
        <v>#N/A</v>
      </c>
    </row>
    <row r="15" spans="1:8" x14ac:dyDescent="0.25">
      <c r="A15" s="3">
        <v>14</v>
      </c>
      <c r="B15" s="3" t="s">
        <v>21</v>
      </c>
      <c r="C15" s="3">
        <v>10141971</v>
      </c>
      <c r="D15" s="5">
        <v>386</v>
      </c>
      <c r="E15" s="3">
        <v>50</v>
      </c>
      <c r="F15" s="6">
        <v>16.843500000000002</v>
      </c>
      <c r="G15" s="6">
        <v>17.3565</v>
      </c>
      <c r="H15" s="4" t="e">
        <f>VLOOKUP(C15:C39,Sheet2!A:B,2,FALSE)</f>
        <v>#N/A</v>
      </c>
    </row>
    <row r="16" spans="1:8" x14ac:dyDescent="0.25">
      <c r="A16" s="3">
        <v>15</v>
      </c>
      <c r="B16" s="3" t="s">
        <v>21</v>
      </c>
      <c r="C16" s="7">
        <v>10152525</v>
      </c>
      <c r="D16" s="5">
        <v>422</v>
      </c>
      <c r="E16" s="7">
        <v>30</v>
      </c>
      <c r="F16" s="6">
        <v>17.927</v>
      </c>
      <c r="G16" s="6">
        <v>18.472999999999999</v>
      </c>
      <c r="H16" s="4">
        <f>VLOOKUP(C16:C40,Sheet2!A:B,2,FALSE)</f>
        <v>24</v>
      </c>
    </row>
    <row r="17" spans="1:8" x14ac:dyDescent="0.25">
      <c r="A17" s="3">
        <v>16</v>
      </c>
      <c r="B17" s="3" t="s">
        <v>24</v>
      </c>
      <c r="C17" s="7">
        <v>40225753</v>
      </c>
      <c r="D17" s="5">
        <v>426</v>
      </c>
      <c r="E17" s="7">
        <v>16</v>
      </c>
      <c r="F17" s="6">
        <v>13.506320000000001</v>
      </c>
      <c r="G17" s="6">
        <v>13.917679999999999</v>
      </c>
      <c r="H17" s="4" t="e">
        <f>VLOOKUP(C17:C41,Sheet2!A:B,2,FALSE)</f>
        <v>#N/A</v>
      </c>
    </row>
    <row r="18" spans="1:8" x14ac:dyDescent="0.25">
      <c r="A18" s="3">
        <v>17</v>
      </c>
      <c r="B18" s="3" t="s">
        <v>24</v>
      </c>
      <c r="C18" s="7">
        <v>40225752</v>
      </c>
      <c r="D18" s="5">
        <v>427</v>
      </c>
      <c r="E18" s="7">
        <v>30</v>
      </c>
      <c r="F18" s="6">
        <v>13.031550000000001</v>
      </c>
      <c r="G18" s="6">
        <v>13.42845</v>
      </c>
      <c r="H18" s="4" t="e">
        <f>VLOOKUP(C18:C42,Sheet2!A:B,2,FALSE)</f>
        <v>#N/A</v>
      </c>
    </row>
    <row r="19" spans="1:8" x14ac:dyDescent="0.25">
      <c r="A19" s="3">
        <v>18</v>
      </c>
      <c r="B19" s="3" t="s">
        <v>23</v>
      </c>
      <c r="C19" s="7">
        <v>10019974</v>
      </c>
      <c r="D19" s="5">
        <v>250</v>
      </c>
      <c r="E19" s="7">
        <v>50</v>
      </c>
      <c r="F19" s="6">
        <v>17.286750000000001</v>
      </c>
      <c r="G19" s="6">
        <v>17.81325</v>
      </c>
      <c r="H19" s="4" t="e">
        <f>VLOOKUP(C19:C43,Sheet2!A:B,2,FALSE)</f>
        <v>#N/A</v>
      </c>
    </row>
    <row r="20" spans="1:8" x14ac:dyDescent="0.25">
      <c r="A20" s="3">
        <v>19</v>
      </c>
      <c r="B20" s="3" t="s">
        <v>23</v>
      </c>
      <c r="C20" s="7">
        <v>10019971</v>
      </c>
      <c r="D20" s="5">
        <v>251</v>
      </c>
      <c r="E20" s="7">
        <v>50</v>
      </c>
      <c r="F20" s="6">
        <v>17.286750000000001</v>
      </c>
      <c r="G20" s="6">
        <v>17.81325</v>
      </c>
      <c r="H20" s="4" t="e">
        <f>VLOOKUP(C20:C44,Sheet2!A:B,2,FALSE)</f>
        <v>#N/A</v>
      </c>
    </row>
    <row r="21" spans="1:8" x14ac:dyDescent="0.25">
      <c r="A21" s="3">
        <v>20</v>
      </c>
      <c r="B21" s="3" t="s">
        <v>23</v>
      </c>
      <c r="C21" s="7">
        <v>10019973</v>
      </c>
      <c r="D21" s="5">
        <v>252</v>
      </c>
      <c r="E21" s="7">
        <v>50</v>
      </c>
      <c r="F21" s="6">
        <v>7.8307500000000001</v>
      </c>
      <c r="G21" s="6">
        <v>8.0692500000000003</v>
      </c>
      <c r="H21" s="4" t="e">
        <f>VLOOKUP(C21:C45,Sheet2!A:B,2,FALSE)</f>
        <v>#N/A</v>
      </c>
    </row>
    <row r="22" spans="1:8" x14ac:dyDescent="0.25">
      <c r="A22" s="3">
        <v>21</v>
      </c>
      <c r="B22" s="3" t="s">
        <v>23</v>
      </c>
      <c r="C22" s="7">
        <v>10019975</v>
      </c>
      <c r="D22" s="5">
        <v>253</v>
      </c>
      <c r="E22" s="7">
        <v>50</v>
      </c>
      <c r="F22" s="6">
        <v>8.3232499999999998</v>
      </c>
      <c r="G22" s="6">
        <v>8.5767499999999988</v>
      </c>
      <c r="H22" s="4" t="e">
        <f>VLOOKUP(C22:C46,Sheet2!A:B,2,FALSE)</f>
        <v>#N/A</v>
      </c>
    </row>
    <row r="23" spans="1:8" x14ac:dyDescent="0.25">
      <c r="A23" s="3">
        <v>22</v>
      </c>
      <c r="B23" s="3" t="s">
        <v>23</v>
      </c>
      <c r="C23" s="7">
        <v>10020343</v>
      </c>
      <c r="D23" s="5">
        <v>254</v>
      </c>
      <c r="E23" s="7">
        <v>50</v>
      </c>
      <c r="F23" s="6">
        <v>8.3232499999999998</v>
      </c>
      <c r="G23" s="6">
        <v>8.5767499999999988</v>
      </c>
      <c r="H23" s="4" t="e">
        <f>VLOOKUP(C23:C47,Sheet2!A:B,2,FALSE)</f>
        <v>#N/A</v>
      </c>
    </row>
    <row r="24" spans="1:8" x14ac:dyDescent="0.25">
      <c r="A24" s="3">
        <v>23</v>
      </c>
      <c r="B24" s="3" t="s">
        <v>23</v>
      </c>
      <c r="C24" s="7">
        <v>10161844</v>
      </c>
      <c r="D24" s="5">
        <v>406</v>
      </c>
      <c r="E24" s="7">
        <v>100</v>
      </c>
      <c r="F24" s="6">
        <v>9.0619999999999994</v>
      </c>
      <c r="G24" s="6">
        <v>9.3379999999999992</v>
      </c>
      <c r="H24" s="4" t="e">
        <f>VLOOKUP(C24:C48,Sheet2!A:B,2,FALSE)</f>
        <v>#N/A</v>
      </c>
    </row>
    <row r="25" spans="1:8" x14ac:dyDescent="0.25">
      <c r="A25" s="3">
        <v>24</v>
      </c>
      <c r="B25" s="3" t="s">
        <v>21</v>
      </c>
      <c r="C25" s="7">
        <v>10036599</v>
      </c>
      <c r="D25" s="5">
        <v>301</v>
      </c>
      <c r="E25" s="7">
        <v>50</v>
      </c>
      <c r="F25" s="6">
        <v>4.6295000000000002</v>
      </c>
      <c r="G25" s="6">
        <v>4.7705000000000002</v>
      </c>
      <c r="H25" s="4" t="e">
        <f>VLOOKUP(C25:C49,Sheet2!A:B,2,FALSE)</f>
        <v>#N/A</v>
      </c>
    </row>
    <row r="26" spans="1:8" x14ac:dyDescent="0.25">
      <c r="A26" s="3">
        <v>25</v>
      </c>
      <c r="B26" s="3" t="s">
        <v>21</v>
      </c>
      <c r="C26" s="7">
        <v>10036600</v>
      </c>
      <c r="D26" s="5">
        <v>302</v>
      </c>
      <c r="E26" s="7">
        <v>100</v>
      </c>
      <c r="F26" s="6">
        <v>9.0619999999999994</v>
      </c>
      <c r="G26" s="6">
        <v>9.3379999999999992</v>
      </c>
      <c r="H26" s="4" t="e">
        <f>VLOOKUP(C26:C50,Sheet2!A:B,2,FALSE)</f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abSelected="1" zoomScale="115" zoomScaleNormal="115" workbookViewId="0">
      <selection activeCell="I5" sqref="I5"/>
    </sheetView>
  </sheetViews>
  <sheetFormatPr defaultRowHeight="12.75" x14ac:dyDescent="0.2"/>
  <cols>
    <col min="1" max="1" width="4.5703125" customWidth="1"/>
    <col min="3" max="3" width="13.28515625" customWidth="1"/>
    <col min="5" max="5" width="14.42578125" customWidth="1"/>
    <col min="6" max="6" width="14.28515625" style="14" customWidth="1"/>
    <col min="7" max="7" width="12.5703125" customWidth="1"/>
    <col min="9" max="9" width="9.5703125" bestFit="1" customWidth="1"/>
  </cols>
  <sheetData>
    <row r="1" spans="1:14" ht="15.75" x14ac:dyDescent="0.2">
      <c r="A1" s="15" t="s">
        <v>0</v>
      </c>
      <c r="B1" s="15"/>
      <c r="C1" s="15"/>
      <c r="D1" s="15"/>
      <c r="E1" s="15"/>
      <c r="F1" s="15"/>
      <c r="G1" s="15"/>
      <c r="H1" s="15"/>
      <c r="I1" s="16"/>
    </row>
    <row r="2" spans="1:14" ht="15.75" x14ac:dyDescent="0.2">
      <c r="A2" s="15"/>
      <c r="B2" s="15"/>
      <c r="C2" s="15"/>
      <c r="D2" s="15"/>
      <c r="E2" s="15"/>
      <c r="F2" s="15"/>
      <c r="G2" s="15"/>
      <c r="H2" s="15"/>
      <c r="I2" s="16"/>
      <c r="N2" s="18"/>
    </row>
    <row r="3" spans="1:14" ht="38.65" customHeight="1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12" t="s">
        <v>6</v>
      </c>
      <c r="G3" s="2" t="s">
        <v>7</v>
      </c>
      <c r="H3" s="2" t="s">
        <v>8</v>
      </c>
      <c r="I3" s="17" t="s">
        <v>137</v>
      </c>
      <c r="N3" s="18"/>
    </row>
    <row r="4" spans="1:14" x14ac:dyDescent="0.2">
      <c r="A4" s="1">
        <v>1</v>
      </c>
      <c r="B4" s="1">
        <v>422</v>
      </c>
      <c r="C4" s="1">
        <v>10152525</v>
      </c>
      <c r="D4" s="1" t="s">
        <v>9</v>
      </c>
      <c r="E4" s="1">
        <v>30</v>
      </c>
      <c r="F4" s="13">
        <v>24</v>
      </c>
      <c r="G4" s="1">
        <v>720</v>
      </c>
      <c r="H4" s="1"/>
      <c r="I4" s="18" t="s">
        <v>138</v>
      </c>
      <c r="N4" s="18"/>
    </row>
    <row r="5" spans="1:14" x14ac:dyDescent="0.2">
      <c r="A5" s="1">
        <v>2</v>
      </c>
      <c r="B5" s="1">
        <v>421</v>
      </c>
      <c r="C5" s="1">
        <v>10149080</v>
      </c>
      <c r="D5" s="1" t="s">
        <v>9</v>
      </c>
      <c r="E5" s="1">
        <v>40</v>
      </c>
      <c r="F5" s="13">
        <v>24</v>
      </c>
      <c r="G5" s="1">
        <v>960</v>
      </c>
      <c r="H5" s="1"/>
      <c r="I5" s="18" t="s">
        <v>139</v>
      </c>
      <c r="N5" s="18"/>
    </row>
    <row r="6" spans="1:14" x14ac:dyDescent="0.2">
      <c r="A6" s="1">
        <v>3</v>
      </c>
      <c r="B6" s="1">
        <v>464</v>
      </c>
      <c r="C6" s="1">
        <v>10306250</v>
      </c>
      <c r="D6" s="1" t="s">
        <v>9</v>
      </c>
      <c r="E6" s="1">
        <v>30</v>
      </c>
      <c r="F6" s="13">
        <v>24</v>
      </c>
      <c r="G6" s="1">
        <v>720</v>
      </c>
      <c r="H6" s="1"/>
      <c r="I6" s="18" t="s">
        <v>140</v>
      </c>
      <c r="N6" s="18"/>
    </row>
    <row r="7" spans="1:14" x14ac:dyDescent="0.2">
      <c r="A7" s="1">
        <v>4</v>
      </c>
      <c r="B7" s="1">
        <v>291</v>
      </c>
      <c r="C7" s="1">
        <v>10040290</v>
      </c>
      <c r="D7" s="1" t="s">
        <v>10</v>
      </c>
      <c r="E7" s="1">
        <v>40</v>
      </c>
      <c r="F7" s="13">
        <v>24</v>
      </c>
      <c r="G7" s="1">
        <v>960</v>
      </c>
      <c r="H7" s="1"/>
      <c r="I7" s="18" t="s">
        <v>141</v>
      </c>
      <c r="N7" s="18"/>
    </row>
    <row r="8" spans="1:14" x14ac:dyDescent="0.2">
      <c r="A8" s="1">
        <v>5</v>
      </c>
      <c r="B8" s="1">
        <v>263</v>
      </c>
      <c r="C8" s="1">
        <v>10026815</v>
      </c>
      <c r="D8" s="1" t="s">
        <v>10</v>
      </c>
      <c r="E8" s="1">
        <v>40</v>
      </c>
      <c r="F8" s="13">
        <v>24</v>
      </c>
      <c r="G8" s="1">
        <v>960</v>
      </c>
      <c r="H8" s="1"/>
      <c r="I8" s="18" t="s">
        <v>142</v>
      </c>
      <c r="N8" s="18"/>
    </row>
    <row r="9" spans="1:14" x14ac:dyDescent="0.2">
      <c r="A9" s="1">
        <v>6</v>
      </c>
      <c r="B9" s="1">
        <v>213</v>
      </c>
      <c r="C9" s="1">
        <v>2006102</v>
      </c>
      <c r="D9" s="1" t="s">
        <v>10</v>
      </c>
      <c r="E9" s="1">
        <v>40</v>
      </c>
      <c r="F9" s="13">
        <v>24</v>
      </c>
      <c r="G9" s="1">
        <v>960</v>
      </c>
      <c r="H9" s="1"/>
      <c r="I9" s="18" t="s">
        <v>143</v>
      </c>
      <c r="N9" s="18"/>
    </row>
    <row r="10" spans="1:14" x14ac:dyDescent="0.2">
      <c r="A10" s="1">
        <v>7</v>
      </c>
      <c r="B10" s="1">
        <v>214</v>
      </c>
      <c r="C10" s="1">
        <v>2006101</v>
      </c>
      <c r="D10" s="1" t="s">
        <v>10</v>
      </c>
      <c r="E10" s="1">
        <v>40</v>
      </c>
      <c r="F10" s="13">
        <v>45</v>
      </c>
      <c r="G10" s="1">
        <v>1800</v>
      </c>
      <c r="H10" s="1"/>
      <c r="I10" s="18" t="s">
        <v>144</v>
      </c>
      <c r="N10" s="18"/>
    </row>
    <row r="11" spans="1:14" x14ac:dyDescent="0.2">
      <c r="A11" s="1">
        <v>8</v>
      </c>
      <c r="B11" s="1">
        <v>356</v>
      </c>
      <c r="C11" s="1">
        <v>10116943</v>
      </c>
      <c r="D11" s="1" t="s">
        <v>11</v>
      </c>
      <c r="E11" s="1">
        <v>30</v>
      </c>
      <c r="F11" s="13">
        <v>24</v>
      </c>
      <c r="G11" s="1">
        <v>720</v>
      </c>
      <c r="H11" s="1"/>
      <c r="I11" s="18" t="s">
        <v>145</v>
      </c>
      <c r="N11" s="18"/>
    </row>
    <row r="12" spans="1:14" x14ac:dyDescent="0.2">
      <c r="A12" s="1">
        <v>9</v>
      </c>
      <c r="B12" s="1">
        <v>357</v>
      </c>
      <c r="C12" s="1">
        <v>10116941</v>
      </c>
      <c r="D12" s="1" t="s">
        <v>11</v>
      </c>
      <c r="E12" s="1">
        <v>20</v>
      </c>
      <c r="F12" s="13">
        <v>24</v>
      </c>
      <c r="G12" s="1">
        <v>480</v>
      </c>
      <c r="H12" s="1"/>
      <c r="I12" s="18" t="s">
        <v>146</v>
      </c>
      <c r="N12" s="18"/>
    </row>
    <row r="13" spans="1:14" x14ac:dyDescent="0.2">
      <c r="A13" s="1">
        <v>10</v>
      </c>
      <c r="B13" s="1">
        <v>358</v>
      </c>
      <c r="C13" s="1">
        <v>10116937</v>
      </c>
      <c r="D13" s="1" t="s">
        <v>11</v>
      </c>
      <c r="E13" s="1">
        <v>30</v>
      </c>
      <c r="F13" s="13">
        <v>24</v>
      </c>
      <c r="G13" s="1">
        <v>720</v>
      </c>
      <c r="H13" s="1"/>
      <c r="I13" s="18" t="s">
        <v>147</v>
      </c>
      <c r="N13" s="18"/>
    </row>
    <row r="14" spans="1:14" x14ac:dyDescent="0.2">
      <c r="A14" s="1">
        <v>11</v>
      </c>
      <c r="B14" s="1">
        <v>359</v>
      </c>
      <c r="C14" s="1">
        <v>10116939</v>
      </c>
      <c r="D14" s="1" t="s">
        <v>11</v>
      </c>
      <c r="E14" s="1">
        <v>40</v>
      </c>
      <c r="F14" s="13">
        <v>24</v>
      </c>
      <c r="G14" s="1">
        <v>960</v>
      </c>
      <c r="H14" s="1"/>
      <c r="I14" s="18" t="s">
        <v>148</v>
      </c>
      <c r="N14" s="18"/>
    </row>
    <row r="15" spans="1:14" x14ac:dyDescent="0.2">
      <c r="A15" s="1">
        <v>12</v>
      </c>
      <c r="B15" s="1">
        <v>432</v>
      </c>
      <c r="C15" s="1">
        <v>10183422</v>
      </c>
      <c r="D15" s="1" t="s">
        <v>12</v>
      </c>
      <c r="E15" s="1">
        <v>15</v>
      </c>
      <c r="F15" s="13">
        <v>24</v>
      </c>
      <c r="G15" s="1">
        <v>360</v>
      </c>
      <c r="H15" s="1"/>
      <c r="I15" s="18" t="s">
        <v>149</v>
      </c>
      <c r="N15" s="18"/>
    </row>
    <row r="16" spans="1:14" x14ac:dyDescent="0.2">
      <c r="A16" s="1">
        <v>13</v>
      </c>
      <c r="B16" s="1">
        <v>433</v>
      </c>
      <c r="C16" s="1">
        <v>10183420</v>
      </c>
      <c r="D16" s="1" t="s">
        <v>12</v>
      </c>
      <c r="E16" s="1">
        <v>8</v>
      </c>
      <c r="F16" s="13">
        <v>24</v>
      </c>
      <c r="G16" s="1">
        <v>192</v>
      </c>
      <c r="H16" s="1"/>
      <c r="I16" s="18" t="s">
        <v>150</v>
      </c>
      <c r="N16" s="18"/>
    </row>
    <row r="17" spans="1:14" x14ac:dyDescent="0.2">
      <c r="A17" s="1">
        <v>14</v>
      </c>
      <c r="B17" s="1">
        <v>404</v>
      </c>
      <c r="C17" s="1">
        <v>10159414</v>
      </c>
      <c r="D17" s="1" t="s">
        <v>12</v>
      </c>
      <c r="E17" s="1">
        <v>16</v>
      </c>
      <c r="F17" s="13">
        <v>24</v>
      </c>
      <c r="G17" s="1">
        <v>384</v>
      </c>
      <c r="H17" s="1"/>
      <c r="I17" s="18" t="s">
        <v>151</v>
      </c>
      <c r="N17" s="18"/>
    </row>
    <row r="18" spans="1:14" x14ac:dyDescent="0.2">
      <c r="A18" s="1">
        <v>15</v>
      </c>
      <c r="B18" s="1">
        <v>434</v>
      </c>
      <c r="C18" s="1">
        <v>10183421</v>
      </c>
      <c r="D18" s="1" t="s">
        <v>12</v>
      </c>
      <c r="E18" s="1">
        <v>40</v>
      </c>
      <c r="F18" s="13">
        <v>24</v>
      </c>
      <c r="G18" s="1">
        <v>960</v>
      </c>
      <c r="H18" s="1"/>
      <c r="I18" s="18" t="s">
        <v>152</v>
      </c>
      <c r="N18" s="18"/>
    </row>
    <row r="19" spans="1:14" x14ac:dyDescent="0.2">
      <c r="A19" s="1">
        <v>16</v>
      </c>
      <c r="B19" s="1">
        <v>438</v>
      </c>
      <c r="C19" s="1">
        <v>54920</v>
      </c>
      <c r="D19" s="1" t="s">
        <v>13</v>
      </c>
      <c r="E19" s="1" t="s">
        <v>14</v>
      </c>
      <c r="F19" s="13" t="s">
        <v>14</v>
      </c>
      <c r="G19" s="1">
        <v>200</v>
      </c>
      <c r="H19" s="1"/>
      <c r="I19" s="18" t="s">
        <v>153</v>
      </c>
      <c r="N19" s="18"/>
    </row>
    <row r="20" spans="1:14" x14ac:dyDescent="0.2">
      <c r="A20" s="1">
        <v>17</v>
      </c>
      <c r="B20" s="1">
        <v>439</v>
      </c>
      <c r="C20" s="1">
        <v>2008157</v>
      </c>
      <c r="D20" s="1" t="s">
        <v>13</v>
      </c>
      <c r="E20" s="1" t="s">
        <v>14</v>
      </c>
      <c r="F20" s="13" t="s">
        <v>14</v>
      </c>
      <c r="G20" s="1">
        <v>200</v>
      </c>
      <c r="H20" s="1"/>
      <c r="I20" s="18" t="s">
        <v>154</v>
      </c>
      <c r="N20" s="18"/>
    </row>
    <row r="21" spans="1:14" x14ac:dyDescent="0.2">
      <c r="A21" s="1">
        <v>18</v>
      </c>
      <c r="B21" s="1">
        <v>440</v>
      </c>
      <c r="C21" s="1">
        <v>2015925</v>
      </c>
      <c r="D21" s="1" t="s">
        <v>13</v>
      </c>
      <c r="E21" s="1" t="s">
        <v>14</v>
      </c>
      <c r="F21" s="13" t="s">
        <v>14</v>
      </c>
      <c r="G21" s="1">
        <v>200</v>
      </c>
      <c r="H21" s="1"/>
      <c r="I21" s="18" t="s">
        <v>155</v>
      </c>
      <c r="N21" s="18"/>
    </row>
    <row r="22" spans="1:14" x14ac:dyDescent="0.2">
      <c r="A22" s="1">
        <v>19</v>
      </c>
      <c r="B22" s="1">
        <v>416</v>
      </c>
      <c r="C22" s="1">
        <v>54919</v>
      </c>
      <c r="D22" s="1" t="s">
        <v>13</v>
      </c>
      <c r="E22" s="1" t="s">
        <v>14</v>
      </c>
      <c r="F22" s="13" t="s">
        <v>14</v>
      </c>
      <c r="G22" s="1">
        <v>360</v>
      </c>
      <c r="H22" s="1"/>
      <c r="I22" s="18" t="s">
        <v>156</v>
      </c>
      <c r="N22" s="18"/>
    </row>
    <row r="23" spans="1:14" x14ac:dyDescent="0.2">
      <c r="I23" s="18" t="s">
        <v>157</v>
      </c>
      <c r="N23" s="18"/>
    </row>
    <row r="24" spans="1:14" x14ac:dyDescent="0.2">
      <c r="I24" s="18" t="s">
        <v>158</v>
      </c>
      <c r="N24" s="18"/>
    </row>
    <row r="25" spans="1:14" x14ac:dyDescent="0.2">
      <c r="I25" s="18" t="s">
        <v>159</v>
      </c>
      <c r="N25" s="18"/>
    </row>
    <row r="26" spans="1:14" x14ac:dyDescent="0.2">
      <c r="I26" s="18" t="s">
        <v>160</v>
      </c>
      <c r="N26" s="18"/>
    </row>
    <row r="27" spans="1:14" x14ac:dyDescent="0.2">
      <c r="I27" s="18" t="s">
        <v>161</v>
      </c>
      <c r="N27" s="18"/>
    </row>
    <row r="28" spans="1:14" x14ac:dyDescent="0.2">
      <c r="I28" s="18" t="s">
        <v>162</v>
      </c>
      <c r="N28" s="18"/>
    </row>
    <row r="29" spans="1:14" x14ac:dyDescent="0.2">
      <c r="I29" s="18" t="s">
        <v>163</v>
      </c>
      <c r="N29" s="18"/>
    </row>
    <row r="30" spans="1:14" x14ac:dyDescent="0.2">
      <c r="I30" s="18" t="s">
        <v>164</v>
      </c>
      <c r="N30" s="18"/>
    </row>
    <row r="31" spans="1:14" x14ac:dyDescent="0.2">
      <c r="I31" s="18" t="s">
        <v>165</v>
      </c>
    </row>
    <row r="32" spans="1:14" x14ac:dyDescent="0.2">
      <c r="I32" s="18" t="s">
        <v>166</v>
      </c>
    </row>
  </sheetData>
  <mergeCells count="1">
    <mergeCell ref="A1:H2"/>
  </mergeCells>
  <conditionalFormatting sqref="C1:C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"/>
  <sheetViews>
    <sheetView workbookViewId="0">
      <selection activeCell="P1" sqref="P1"/>
    </sheetView>
  </sheetViews>
  <sheetFormatPr defaultRowHeight="12.75" x14ac:dyDescent="0.2"/>
  <cols>
    <col min="1" max="1" width="11.28515625" customWidth="1"/>
    <col min="16" max="16" width="11.28515625" bestFit="1" customWidth="1"/>
  </cols>
  <sheetData>
    <row r="1" spans="1:62" ht="51" x14ac:dyDescent="0.2">
      <c r="A1" s="8" t="s">
        <v>25</v>
      </c>
      <c r="B1" s="8" t="s">
        <v>26</v>
      </c>
      <c r="C1" s="9" t="s">
        <v>27</v>
      </c>
      <c r="D1" s="8" t="s">
        <v>28</v>
      </c>
      <c r="E1" s="8" t="s">
        <v>29</v>
      </c>
      <c r="F1" s="8" t="s">
        <v>30</v>
      </c>
      <c r="G1" s="9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9" t="s">
        <v>36</v>
      </c>
      <c r="M1" s="9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  <c r="S1" s="9" t="s">
        <v>43</v>
      </c>
      <c r="T1" s="8" t="s">
        <v>44</v>
      </c>
      <c r="U1" s="8" t="s">
        <v>45</v>
      </c>
      <c r="V1" s="8" t="s">
        <v>46</v>
      </c>
      <c r="W1" s="8" t="s">
        <v>47</v>
      </c>
      <c r="X1" s="8" t="s">
        <v>48</v>
      </c>
      <c r="Y1" s="8" t="s">
        <v>49</v>
      </c>
      <c r="Z1" s="8" t="s">
        <v>50</v>
      </c>
      <c r="AA1" s="8" t="s">
        <v>51</v>
      </c>
      <c r="AB1" s="8" t="s">
        <v>52</v>
      </c>
      <c r="AC1" s="9" t="s">
        <v>53</v>
      </c>
      <c r="AD1" s="9" t="s">
        <v>54</v>
      </c>
      <c r="AE1" s="8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9" t="s">
        <v>60</v>
      </c>
      <c r="AK1" s="8" t="s">
        <v>61</v>
      </c>
      <c r="AL1" s="9" t="s">
        <v>62</v>
      </c>
      <c r="AM1" s="8" t="s">
        <v>63</v>
      </c>
      <c r="AN1" s="9" t="s">
        <v>64</v>
      </c>
      <c r="AO1" s="9" t="s">
        <v>65</v>
      </c>
      <c r="AP1" s="8" t="s">
        <v>66</v>
      </c>
      <c r="AQ1" s="9" t="s">
        <v>67</v>
      </c>
      <c r="AR1" s="9" t="s">
        <v>68</v>
      </c>
      <c r="AS1" s="8" t="s">
        <v>69</v>
      </c>
      <c r="AT1" s="9" t="s">
        <v>70</v>
      </c>
      <c r="AU1" s="9" t="s">
        <v>71</v>
      </c>
      <c r="AV1" s="8" t="s">
        <v>72</v>
      </c>
      <c r="AW1" s="8" t="s">
        <v>73</v>
      </c>
      <c r="AX1" s="8" t="s">
        <v>74</v>
      </c>
      <c r="AY1" s="8" t="s">
        <v>75</v>
      </c>
      <c r="AZ1" s="8" t="s">
        <v>76</v>
      </c>
      <c r="BA1" s="8" t="s">
        <v>77</v>
      </c>
      <c r="BB1" s="8" t="s">
        <v>77</v>
      </c>
      <c r="BC1" s="8" t="s">
        <v>78</v>
      </c>
      <c r="BD1" s="8" t="s">
        <v>79</v>
      </c>
      <c r="BE1" s="8" t="s">
        <v>80</v>
      </c>
      <c r="BF1" s="8" t="s">
        <v>81</v>
      </c>
      <c r="BG1" s="8" t="s">
        <v>82</v>
      </c>
      <c r="BH1" s="8" t="s">
        <v>83</v>
      </c>
      <c r="BI1" s="8" t="s">
        <v>84</v>
      </c>
      <c r="BJ1" s="8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A977-3FC3-4B06-8EAC-3369B6E29DF9}">
  <dimension ref="B2:E59"/>
  <sheetViews>
    <sheetView workbookViewId="0">
      <selection activeCell="F59" sqref="C59:F60"/>
    </sheetView>
  </sheetViews>
  <sheetFormatPr defaultRowHeight="12.75" x14ac:dyDescent="0.2"/>
  <cols>
    <col min="2" max="2" width="24.7109375" bestFit="1" customWidth="1"/>
    <col min="3" max="3" width="17.28515625" bestFit="1" customWidth="1"/>
  </cols>
  <sheetData>
    <row r="2" spans="2:5" x14ac:dyDescent="0.2">
      <c r="B2" t="s">
        <v>86</v>
      </c>
      <c r="C2" s="10" t="s">
        <v>135</v>
      </c>
      <c r="D2" s="11" t="s">
        <v>136</v>
      </c>
      <c r="E2" t="str">
        <f>C2&amp;B2&amp;D2</f>
        <v>$table-&gt;string('COMPANY_CODE');</v>
      </c>
    </row>
    <row r="3" spans="2:5" x14ac:dyDescent="0.2">
      <c r="B3" t="s">
        <v>87</v>
      </c>
      <c r="C3" s="10" t="s">
        <v>135</v>
      </c>
      <c r="D3" s="11" t="s">
        <v>136</v>
      </c>
      <c r="E3" t="str">
        <f t="shared" ref="E3:E59" si="0">C3&amp;B3&amp;D3</f>
        <v>$table-&gt;string('SALES_ORDER');</v>
      </c>
    </row>
    <row r="4" spans="2:5" x14ac:dyDescent="0.2">
      <c r="B4" t="s">
        <v>88</v>
      </c>
      <c r="C4" s="10" t="s">
        <v>135</v>
      </c>
      <c r="D4" s="11" t="s">
        <v>136</v>
      </c>
      <c r="E4" t="str">
        <f t="shared" si="0"/>
        <v>$table-&gt;string('SALES_ORDER_ITEM');</v>
      </c>
    </row>
    <row r="5" spans="2:5" x14ac:dyDescent="0.2">
      <c r="B5" t="s">
        <v>89</v>
      </c>
      <c r="C5" s="10" t="s">
        <v>135</v>
      </c>
      <c r="D5" s="11" t="s">
        <v>136</v>
      </c>
      <c r="E5" t="str">
        <f t="shared" si="0"/>
        <v>$table-&gt;string('CUSTOMER_NO.');</v>
      </c>
    </row>
    <row r="6" spans="2:5" x14ac:dyDescent="0.2">
      <c r="B6" t="s">
        <v>90</v>
      </c>
      <c r="C6" s="10" t="s">
        <v>135</v>
      </c>
      <c r="D6" s="11" t="s">
        <v>136</v>
      </c>
      <c r="E6" t="str">
        <f t="shared" si="0"/>
        <v>$table-&gt;string('CUSTOMER_NAME');</v>
      </c>
    </row>
    <row r="7" spans="2:5" x14ac:dyDescent="0.2">
      <c r="B7" t="s">
        <v>91</v>
      </c>
      <c r="C7" s="10" t="s">
        <v>135</v>
      </c>
      <c r="D7" s="11" t="s">
        <v>136</v>
      </c>
      <c r="E7" t="str">
        <f t="shared" si="0"/>
        <v>$table-&gt;string('CUSTOMER_PO_No.');</v>
      </c>
    </row>
    <row r="8" spans="2:5" x14ac:dyDescent="0.2">
      <c r="B8" t="s">
        <v>92</v>
      </c>
      <c r="C8" s="10" t="s">
        <v>135</v>
      </c>
      <c r="D8" s="11" t="s">
        <v>136</v>
      </c>
      <c r="E8" t="str">
        <f t="shared" si="0"/>
        <v>$table-&gt;string('CUSTOMER_PO_Date');</v>
      </c>
    </row>
    <row r="9" spans="2:5" x14ac:dyDescent="0.2">
      <c r="B9" t="s">
        <v>93</v>
      </c>
      <c r="C9" s="10" t="s">
        <v>135</v>
      </c>
      <c r="D9" s="11" t="s">
        <v>136</v>
      </c>
      <c r="E9" t="str">
        <f t="shared" si="0"/>
        <v>$table-&gt;string('SALES_ORGANISATION');</v>
      </c>
    </row>
    <row r="10" spans="2:5" x14ac:dyDescent="0.2">
      <c r="B10" t="s">
        <v>94</v>
      </c>
      <c r="C10" s="10" t="s">
        <v>135</v>
      </c>
      <c r="D10" s="11" t="s">
        <v>136</v>
      </c>
      <c r="E10" t="str">
        <f t="shared" si="0"/>
        <v>$table-&gt;string('DISTRIBUTION_CHANNEL');</v>
      </c>
    </row>
    <row r="11" spans="2:5" x14ac:dyDescent="0.2">
      <c r="B11" t="s">
        <v>38</v>
      </c>
      <c r="C11" s="10" t="s">
        <v>135</v>
      </c>
      <c r="D11" s="11" t="s">
        <v>136</v>
      </c>
      <c r="E11" t="str">
        <f t="shared" si="0"/>
        <v>$table-&gt;string('DIVISION');</v>
      </c>
    </row>
    <row r="12" spans="2:5" x14ac:dyDescent="0.2">
      <c r="B12" t="s">
        <v>39</v>
      </c>
      <c r="C12" s="10" t="s">
        <v>135</v>
      </c>
      <c r="D12" s="11" t="s">
        <v>136</v>
      </c>
      <c r="E12" t="str">
        <f t="shared" si="0"/>
        <v>$table-&gt;string('PLANT');</v>
      </c>
    </row>
    <row r="13" spans="2:5" x14ac:dyDescent="0.2">
      <c r="B13" t="s">
        <v>95</v>
      </c>
      <c r="C13" s="10" t="s">
        <v>135</v>
      </c>
      <c r="D13" s="11" t="s">
        <v>136</v>
      </c>
      <c r="E13" t="str">
        <f t="shared" si="0"/>
        <v>$table-&gt;string('ITEM_CODE');</v>
      </c>
    </row>
    <row r="14" spans="2:5" x14ac:dyDescent="0.2">
      <c r="B14" t="s">
        <v>96</v>
      </c>
      <c r="C14" s="10" t="s">
        <v>135</v>
      </c>
      <c r="D14" s="11" t="s">
        <v>136</v>
      </c>
      <c r="E14" t="str">
        <f t="shared" si="0"/>
        <v>$table-&gt;string('MATERIAL_NAME');</v>
      </c>
    </row>
    <row r="15" spans="2:5" x14ac:dyDescent="0.2">
      <c r="B15" t="s">
        <v>97</v>
      </c>
      <c r="C15" s="10" t="s">
        <v>135</v>
      </c>
      <c r="D15" s="11" t="s">
        <v>136</v>
      </c>
      <c r="E15" t="str">
        <f t="shared" si="0"/>
        <v>$table-&gt;string('MATERIAL_DESCRIPTION');</v>
      </c>
    </row>
    <row r="16" spans="2:5" x14ac:dyDescent="0.2">
      <c r="B16" t="s">
        <v>98</v>
      </c>
      <c r="C16" s="10" t="s">
        <v>135</v>
      </c>
      <c r="D16" s="11" t="s">
        <v>136</v>
      </c>
      <c r="E16" t="str">
        <f t="shared" si="0"/>
        <v>$table-&gt;string('CUSTOMER_PART_NUMBER');</v>
      </c>
    </row>
    <row r="17" spans="2:5" x14ac:dyDescent="0.2">
      <c r="B17" t="s">
        <v>99</v>
      </c>
      <c r="C17" s="10" t="s">
        <v>135</v>
      </c>
      <c r="D17" s="11" t="s">
        <v>136</v>
      </c>
      <c r="E17" t="str">
        <f t="shared" si="0"/>
        <v>$table-&gt;string('CUSTOMER_PART_NAME');</v>
      </c>
    </row>
    <row r="18" spans="2:5" x14ac:dyDescent="0.2">
      <c r="B18" t="s">
        <v>45</v>
      </c>
      <c r="C18" s="10" t="s">
        <v>135</v>
      </c>
      <c r="D18" s="11" t="s">
        <v>136</v>
      </c>
      <c r="E18" t="str">
        <f t="shared" si="0"/>
        <v>$table-&gt;string('INCOTERMS');</v>
      </c>
    </row>
    <row r="19" spans="2:5" x14ac:dyDescent="0.2">
      <c r="B19" t="s">
        <v>46</v>
      </c>
      <c r="C19" s="10" t="s">
        <v>135</v>
      </c>
      <c r="D19" s="11" t="s">
        <v>136</v>
      </c>
      <c r="E19" t="str">
        <f t="shared" si="0"/>
        <v>$table-&gt;string('HSN/SAC');</v>
      </c>
    </row>
    <row r="20" spans="2:5" x14ac:dyDescent="0.2">
      <c r="B20" t="s">
        <v>100</v>
      </c>
      <c r="C20" s="10" t="s">
        <v>135</v>
      </c>
      <c r="D20" s="11" t="s">
        <v>136</v>
      </c>
      <c r="E20" t="str">
        <f t="shared" si="0"/>
        <v>$table-&gt;string('COUNTRY_NAME');</v>
      </c>
    </row>
    <row r="21" spans="2:5" x14ac:dyDescent="0.2">
      <c r="B21" t="s">
        <v>48</v>
      </c>
      <c r="C21" s="10" t="s">
        <v>135</v>
      </c>
      <c r="D21" s="11" t="s">
        <v>136</v>
      </c>
      <c r="E21" t="str">
        <f t="shared" si="0"/>
        <v>$table-&gt;string('REGION');</v>
      </c>
    </row>
    <row r="22" spans="2:5" x14ac:dyDescent="0.2">
      <c r="B22" t="s">
        <v>101</v>
      </c>
      <c r="C22" s="10" t="s">
        <v>135</v>
      </c>
      <c r="D22" s="11" t="s">
        <v>136</v>
      </c>
      <c r="E22" t="str">
        <f t="shared" si="0"/>
        <v>$table-&gt;string('ITEM_VALUE');</v>
      </c>
    </row>
    <row r="23" spans="2:5" x14ac:dyDescent="0.2">
      <c r="B23" t="s">
        <v>129</v>
      </c>
      <c r="C23" s="10" t="s">
        <v>135</v>
      </c>
      <c r="D23" s="11" t="s">
        <v>136</v>
      </c>
      <c r="E23" t="str">
        <f t="shared" si="0"/>
        <v>$table-&gt;string('DISCOUNT__PERCENT');</v>
      </c>
    </row>
    <row r="24" spans="2:5" x14ac:dyDescent="0.2">
      <c r="B24" t="s">
        <v>102</v>
      </c>
      <c r="C24" s="10" t="s">
        <v>135</v>
      </c>
      <c r="D24" s="11" t="s">
        <v>136</v>
      </c>
      <c r="E24" t="str">
        <f t="shared" si="0"/>
        <v>$table-&gt;string('BILLED_QTY');</v>
      </c>
    </row>
    <row r="25" spans="2:5" x14ac:dyDescent="0.2">
      <c r="B25" t="s">
        <v>52</v>
      </c>
      <c r="C25" s="10" t="s">
        <v>135</v>
      </c>
      <c r="D25" s="11" t="s">
        <v>136</v>
      </c>
      <c r="E25" t="str">
        <f t="shared" si="0"/>
        <v>$table-&gt;string('ITEM_TOTALVALUE');</v>
      </c>
    </row>
    <row r="26" spans="2:5" x14ac:dyDescent="0.2">
      <c r="B26" t="s">
        <v>103</v>
      </c>
      <c r="C26" s="10" t="s">
        <v>135</v>
      </c>
      <c r="D26" s="11" t="s">
        <v>136</v>
      </c>
      <c r="E26" t="str">
        <f t="shared" si="0"/>
        <v>$table-&gt;string('DISCOUNTED_VALUE');</v>
      </c>
    </row>
    <row r="27" spans="2:5" x14ac:dyDescent="0.2">
      <c r="B27" t="s">
        <v>104</v>
      </c>
      <c r="C27" s="10" t="s">
        <v>135</v>
      </c>
      <c r="D27" s="11" t="s">
        <v>136</v>
      </c>
      <c r="E27" t="str">
        <f t="shared" si="0"/>
        <v>$table-&gt;string('TOTAL_VALUE_AFTER_DI');</v>
      </c>
    </row>
    <row r="28" spans="2:5" x14ac:dyDescent="0.2">
      <c r="B28" t="s">
        <v>55</v>
      </c>
      <c r="C28" s="10" t="s">
        <v>135</v>
      </c>
      <c r="D28" s="11" t="s">
        <v>136</v>
      </c>
      <c r="E28" t="str">
        <f t="shared" si="0"/>
        <v>$table-&gt;string('CURRANCY');</v>
      </c>
    </row>
    <row r="29" spans="2:5" x14ac:dyDescent="0.2">
      <c r="B29" t="s">
        <v>105</v>
      </c>
      <c r="C29" s="10" t="s">
        <v>135</v>
      </c>
      <c r="D29" s="11" t="s">
        <v>136</v>
      </c>
      <c r="E29" t="str">
        <f t="shared" si="0"/>
        <v>$table-&gt;string('FI_DOCUMENT');</v>
      </c>
    </row>
    <row r="30" spans="2:5" x14ac:dyDescent="0.2">
      <c r="B30" t="s">
        <v>106</v>
      </c>
      <c r="C30" s="10" t="s">
        <v>135</v>
      </c>
      <c r="D30" s="11" t="s">
        <v>136</v>
      </c>
      <c r="E30" t="str">
        <f t="shared" si="0"/>
        <v>$table-&gt;string('EXCHANGE_RATE');</v>
      </c>
    </row>
    <row r="31" spans="2:5" x14ac:dyDescent="0.2">
      <c r="B31" t="s">
        <v>107</v>
      </c>
      <c r="C31" s="10" t="s">
        <v>135</v>
      </c>
      <c r="D31" s="11" t="s">
        <v>136</v>
      </c>
      <c r="E31" t="str">
        <f t="shared" si="0"/>
        <v>$table-&gt;string('FINAL_VALUE');</v>
      </c>
    </row>
    <row r="32" spans="2:5" x14ac:dyDescent="0.2">
      <c r="B32" t="s">
        <v>130</v>
      </c>
      <c r="C32" s="10" t="s">
        <v>135</v>
      </c>
      <c r="D32" s="11" t="s">
        <v>136</v>
      </c>
      <c r="E32" t="str">
        <f t="shared" si="0"/>
        <v>$table-&gt;string('JOIG_PERCENT');</v>
      </c>
    </row>
    <row r="33" spans="2:5" x14ac:dyDescent="0.2">
      <c r="B33" t="s">
        <v>108</v>
      </c>
      <c r="C33" s="10" t="s">
        <v>135</v>
      </c>
      <c r="D33" s="11" t="s">
        <v>136</v>
      </c>
      <c r="E33" t="str">
        <f t="shared" si="0"/>
        <v>$table-&gt;string('JOIG_TAX_VALUE');</v>
      </c>
    </row>
    <row r="34" spans="2:5" x14ac:dyDescent="0.2">
      <c r="B34" t="s">
        <v>131</v>
      </c>
      <c r="C34" s="10" t="s">
        <v>135</v>
      </c>
      <c r="D34" s="11" t="s">
        <v>136</v>
      </c>
      <c r="E34" t="str">
        <f t="shared" si="0"/>
        <v>$table-&gt;string('JOCG_PERCENT');</v>
      </c>
    </row>
    <row r="35" spans="2:5" x14ac:dyDescent="0.2">
      <c r="B35" t="s">
        <v>109</v>
      </c>
      <c r="C35" s="10" t="s">
        <v>135</v>
      </c>
      <c r="D35" s="11" t="s">
        <v>136</v>
      </c>
      <c r="E35" t="str">
        <f t="shared" si="0"/>
        <v>$table-&gt;string('JOCG_TAX_VALUE');</v>
      </c>
    </row>
    <row r="36" spans="2:5" x14ac:dyDescent="0.2">
      <c r="B36" t="s">
        <v>132</v>
      </c>
      <c r="C36" s="10" t="s">
        <v>135</v>
      </c>
      <c r="D36" s="11" t="s">
        <v>136</v>
      </c>
      <c r="E36" t="str">
        <f t="shared" si="0"/>
        <v>$table-&gt;string('JOSG_PERCENT');</v>
      </c>
    </row>
    <row r="37" spans="2:5" x14ac:dyDescent="0.2">
      <c r="B37" t="s">
        <v>110</v>
      </c>
      <c r="C37" s="10" t="s">
        <v>135</v>
      </c>
      <c r="D37" s="11" t="s">
        <v>136</v>
      </c>
      <c r="E37" t="str">
        <f t="shared" si="0"/>
        <v>$table-&gt;string('JOSG_TAX_VALUE');</v>
      </c>
    </row>
    <row r="38" spans="2:5" x14ac:dyDescent="0.2">
      <c r="B38" t="s">
        <v>111</v>
      </c>
      <c r="C38" s="10" t="s">
        <v>135</v>
      </c>
      <c r="D38" s="11" t="s">
        <v>136</v>
      </c>
      <c r="E38" t="str">
        <f t="shared" si="0"/>
        <v>$table-&gt;string('TOTAL_TAX_ITEM_WISE');</v>
      </c>
    </row>
    <row r="39" spans="2:5" x14ac:dyDescent="0.2">
      <c r="B39" t="s">
        <v>112</v>
      </c>
      <c r="C39" s="10" t="s">
        <v>135</v>
      </c>
      <c r="D39" s="11" t="s">
        <v>136</v>
      </c>
      <c r="E39" t="str">
        <f t="shared" si="0"/>
        <v>$table-&gt;string('PACKING_COST');</v>
      </c>
    </row>
    <row r="40" spans="2:5" x14ac:dyDescent="0.2">
      <c r="B40" t="s">
        <v>113</v>
      </c>
      <c r="C40" s="10" t="s">
        <v>135</v>
      </c>
      <c r="D40" s="11" t="s">
        <v>136</v>
      </c>
      <c r="E40" t="str">
        <f t="shared" si="0"/>
        <v>$table-&gt;string('TOTAL_PACKING_COST');</v>
      </c>
    </row>
    <row r="41" spans="2:5" x14ac:dyDescent="0.2">
      <c r="B41" t="s">
        <v>114</v>
      </c>
      <c r="C41" s="10" t="s">
        <v>135</v>
      </c>
      <c r="D41" s="11" t="s">
        <v>136</v>
      </c>
      <c r="E41" t="str">
        <f t="shared" si="0"/>
        <v>$table-&gt;string('TOTAL_TCS/SALE');</v>
      </c>
    </row>
    <row r="42" spans="2:5" x14ac:dyDescent="0.2">
      <c r="B42" t="s">
        <v>133</v>
      </c>
      <c r="C42" s="10" t="s">
        <v>135</v>
      </c>
      <c r="D42" s="11" t="s">
        <v>136</v>
      </c>
      <c r="E42" t="str">
        <f t="shared" si="0"/>
        <v>$table-&gt;string('TCS_TAX/SALES_PERCENT');</v>
      </c>
    </row>
    <row r="43" spans="2:5" x14ac:dyDescent="0.2">
      <c r="B43" t="s">
        <v>134</v>
      </c>
      <c r="C43" s="10" t="s">
        <v>135</v>
      </c>
      <c r="D43" s="11" t="s">
        <v>136</v>
      </c>
      <c r="E43" t="str">
        <f t="shared" si="0"/>
        <v>$table-&gt;string('TCS_TAX_/SCRAP_PERCENT');</v>
      </c>
    </row>
    <row r="44" spans="2:5" x14ac:dyDescent="0.2">
      <c r="B44" t="s">
        <v>115</v>
      </c>
      <c r="C44" s="10" t="s">
        <v>135</v>
      </c>
      <c r="D44" s="11" t="s">
        <v>136</v>
      </c>
      <c r="E44" t="str">
        <f t="shared" si="0"/>
        <v>$table-&gt;string('TOTAL_TCS/SCRAP');</v>
      </c>
    </row>
    <row r="45" spans="2:5" x14ac:dyDescent="0.2">
      <c r="B45" t="s">
        <v>116</v>
      </c>
      <c r="C45" s="10" t="s">
        <v>135</v>
      </c>
      <c r="D45" s="11" t="s">
        <v>136</v>
      </c>
      <c r="E45" t="str">
        <f t="shared" si="0"/>
        <v>$table-&gt;string('TOTAL_INV_VALUE');</v>
      </c>
    </row>
    <row r="46" spans="2:5" x14ac:dyDescent="0.2">
      <c r="B46" t="s">
        <v>117</v>
      </c>
      <c r="C46" s="10" t="s">
        <v>135</v>
      </c>
      <c r="D46" s="11" t="s">
        <v>136</v>
      </c>
      <c r="E46" t="str">
        <f t="shared" si="0"/>
        <v>$table-&gt;string('IRN_NO.');</v>
      </c>
    </row>
    <row r="47" spans="2:5" x14ac:dyDescent="0.2">
      <c r="B47" t="s">
        <v>118</v>
      </c>
      <c r="C47" s="10" t="s">
        <v>135</v>
      </c>
      <c r="D47" s="11" t="s">
        <v>136</v>
      </c>
      <c r="E47" t="str">
        <f t="shared" si="0"/>
        <v>$table-&gt;string('TRANSPORTER_NAME');</v>
      </c>
    </row>
    <row r="48" spans="2:5" x14ac:dyDescent="0.2">
      <c r="B48" t="s">
        <v>119</v>
      </c>
      <c r="C48" s="10" t="s">
        <v>135</v>
      </c>
      <c r="D48" s="11" t="s">
        <v>136</v>
      </c>
      <c r="E48" t="str">
        <f t="shared" si="0"/>
        <v>$table-&gt;string('TRANSPORT_MODE');</v>
      </c>
    </row>
    <row r="49" spans="2:5" x14ac:dyDescent="0.2">
      <c r="B49" t="s">
        <v>120</v>
      </c>
      <c r="C49" s="10" t="s">
        <v>135</v>
      </c>
      <c r="D49" s="11" t="s">
        <v>136</v>
      </c>
      <c r="E49" t="str">
        <f t="shared" si="0"/>
        <v>$table-&gt;string('TRANSPORTER_NO.');</v>
      </c>
    </row>
    <row r="50" spans="2:5" x14ac:dyDescent="0.2">
      <c r="B50" t="s">
        <v>121</v>
      </c>
      <c r="C50" s="10" t="s">
        <v>135</v>
      </c>
      <c r="D50" s="11" t="s">
        <v>136</v>
      </c>
      <c r="E50" t="str">
        <f t="shared" si="0"/>
        <v>$table-&gt;string('TRANSPORT_DATE');</v>
      </c>
    </row>
    <row r="51" spans="2:5" x14ac:dyDescent="0.2">
      <c r="B51" t="s">
        <v>121</v>
      </c>
      <c r="C51" s="10" t="s">
        <v>135</v>
      </c>
      <c r="D51" s="11" t="s">
        <v>136</v>
      </c>
      <c r="E51" t="str">
        <f t="shared" si="0"/>
        <v>$table-&gt;string('TRANSPORT_DATE');</v>
      </c>
    </row>
    <row r="52" spans="2:5" x14ac:dyDescent="0.2">
      <c r="B52" t="s">
        <v>122</v>
      </c>
      <c r="C52" s="10" t="s">
        <v>135</v>
      </c>
      <c r="D52" s="11" t="s">
        <v>136</v>
      </c>
      <c r="E52" t="str">
        <f t="shared" si="0"/>
        <v>$table-&gt;string('VECHILE_NO.');</v>
      </c>
    </row>
    <row r="53" spans="2:5" x14ac:dyDescent="0.2">
      <c r="B53" t="s">
        <v>123</v>
      </c>
      <c r="C53" s="10" t="s">
        <v>135</v>
      </c>
      <c r="D53" s="11" t="s">
        <v>136</v>
      </c>
      <c r="E53" t="str">
        <f t="shared" si="0"/>
        <v>$table-&gt;string('EWAY_BILL_NO.');</v>
      </c>
    </row>
    <row r="54" spans="2:5" x14ac:dyDescent="0.2">
      <c r="B54" t="s">
        <v>124</v>
      </c>
      <c r="C54" s="10" t="s">
        <v>135</v>
      </c>
      <c r="D54" s="11" t="s">
        <v>136</v>
      </c>
      <c r="E54" t="str">
        <f t="shared" si="0"/>
        <v>$table-&gt;string('EWAY_BILL_DT');</v>
      </c>
    </row>
    <row r="55" spans="2:5" x14ac:dyDescent="0.2">
      <c r="B55" t="s">
        <v>125</v>
      </c>
      <c r="C55" s="10" t="s">
        <v>135</v>
      </c>
      <c r="D55" s="11" t="s">
        <v>136</v>
      </c>
      <c r="E55" t="str">
        <f t="shared" si="0"/>
        <v>$table-&gt;string('LR_NO.');</v>
      </c>
    </row>
    <row r="56" spans="2:5" x14ac:dyDescent="0.2">
      <c r="B56" t="s">
        <v>126</v>
      </c>
      <c r="C56" s="10" t="s">
        <v>135</v>
      </c>
      <c r="D56" s="11" t="s">
        <v>136</v>
      </c>
      <c r="E56" t="str">
        <f t="shared" si="0"/>
        <v>$table-&gt;string('LR_DATE');</v>
      </c>
    </row>
    <row r="57" spans="2:5" x14ac:dyDescent="0.2">
      <c r="B57" t="s">
        <v>127</v>
      </c>
      <c r="C57" s="10" t="s">
        <v>135</v>
      </c>
      <c r="D57" s="11" t="s">
        <v>136</v>
      </c>
      <c r="E57" t="str">
        <f t="shared" si="0"/>
        <v>$table-&gt;string('GRN_NO.');</v>
      </c>
    </row>
    <row r="58" spans="2:5" x14ac:dyDescent="0.2">
      <c r="B58" t="s">
        <v>128</v>
      </c>
      <c r="C58" s="10" t="s">
        <v>135</v>
      </c>
      <c r="D58" s="11" t="s">
        <v>136</v>
      </c>
      <c r="E58" t="str">
        <f t="shared" si="0"/>
        <v>$table-&gt;string('GRN_DATE');</v>
      </c>
    </row>
    <row r="59" spans="2:5" x14ac:dyDescent="0.2">
      <c r="B59" t="s">
        <v>85</v>
      </c>
      <c r="C59" s="10" t="s">
        <v>135</v>
      </c>
      <c r="D59" s="11" t="s">
        <v>136</v>
      </c>
      <c r="E59" t="str">
        <f t="shared" si="0"/>
        <v>$table-&gt;string('REMARKS');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8784-1B04-4BDF-9C33-6B9F1CD65640}">
  <dimension ref="A1:B19"/>
  <sheetViews>
    <sheetView workbookViewId="0">
      <selection activeCell="D32" sqref="D32"/>
    </sheetView>
  </sheetViews>
  <sheetFormatPr defaultRowHeight="12.75" x14ac:dyDescent="0.2"/>
  <sheetData>
    <row r="1" spans="1:2" x14ac:dyDescent="0.2">
      <c r="A1" s="1">
        <v>10152525</v>
      </c>
      <c r="B1" s="13">
        <v>24</v>
      </c>
    </row>
    <row r="2" spans="1:2" x14ac:dyDescent="0.2">
      <c r="A2" s="1">
        <v>10149080</v>
      </c>
      <c r="B2" s="13">
        <v>24</v>
      </c>
    </row>
    <row r="3" spans="1:2" x14ac:dyDescent="0.2">
      <c r="A3" s="1">
        <v>10306250</v>
      </c>
      <c r="B3" s="13">
        <v>24</v>
      </c>
    </row>
    <row r="4" spans="1:2" x14ac:dyDescent="0.2">
      <c r="A4" s="1">
        <v>10040290</v>
      </c>
      <c r="B4" s="13">
        <v>24</v>
      </c>
    </row>
    <row r="5" spans="1:2" x14ac:dyDescent="0.2">
      <c r="A5" s="1">
        <v>10026815</v>
      </c>
      <c r="B5" s="13">
        <v>24</v>
      </c>
    </row>
    <row r="6" spans="1:2" x14ac:dyDescent="0.2">
      <c r="A6" s="1">
        <v>2006102</v>
      </c>
      <c r="B6" s="13">
        <v>24</v>
      </c>
    </row>
    <row r="7" spans="1:2" x14ac:dyDescent="0.2">
      <c r="A7" s="1">
        <v>2006101</v>
      </c>
      <c r="B7" s="13">
        <v>45</v>
      </c>
    </row>
    <row r="8" spans="1:2" x14ac:dyDescent="0.2">
      <c r="A8" s="1">
        <v>10116943</v>
      </c>
      <c r="B8" s="13">
        <v>24</v>
      </c>
    </row>
    <row r="9" spans="1:2" x14ac:dyDescent="0.2">
      <c r="A9" s="1">
        <v>10116941</v>
      </c>
      <c r="B9" s="13">
        <v>24</v>
      </c>
    </row>
    <row r="10" spans="1:2" x14ac:dyDescent="0.2">
      <c r="A10" s="1">
        <v>10116937</v>
      </c>
      <c r="B10" s="13">
        <v>24</v>
      </c>
    </row>
    <row r="11" spans="1:2" x14ac:dyDescent="0.2">
      <c r="A11" s="1">
        <v>10116939</v>
      </c>
      <c r="B11" s="13">
        <v>24</v>
      </c>
    </row>
    <row r="12" spans="1:2" x14ac:dyDescent="0.2">
      <c r="A12" s="1">
        <v>10183422</v>
      </c>
      <c r="B12" s="13">
        <v>24</v>
      </c>
    </row>
    <row r="13" spans="1:2" x14ac:dyDescent="0.2">
      <c r="A13" s="1">
        <v>10183420</v>
      </c>
      <c r="B13" s="13">
        <v>24</v>
      </c>
    </row>
    <row r="14" spans="1:2" x14ac:dyDescent="0.2">
      <c r="A14" s="1">
        <v>10159414</v>
      </c>
      <c r="B14" s="13">
        <v>24</v>
      </c>
    </row>
    <row r="15" spans="1:2" x14ac:dyDescent="0.2">
      <c r="A15" s="1">
        <v>10183421</v>
      </c>
      <c r="B15" s="13">
        <v>24</v>
      </c>
    </row>
    <row r="16" spans="1:2" x14ac:dyDescent="0.2">
      <c r="A16" s="1">
        <v>54920</v>
      </c>
      <c r="B16" s="13" t="s">
        <v>14</v>
      </c>
    </row>
    <row r="17" spans="1:2" x14ac:dyDescent="0.2">
      <c r="A17" s="1">
        <v>2008157</v>
      </c>
      <c r="B17" s="13" t="s">
        <v>14</v>
      </c>
    </row>
    <row r="18" spans="1:2" x14ac:dyDescent="0.2">
      <c r="A18" s="1">
        <v>2015925</v>
      </c>
      <c r="B18" s="13" t="s">
        <v>14</v>
      </c>
    </row>
    <row r="19" spans="1:2" x14ac:dyDescent="0.2">
      <c r="A19" s="1">
        <v>54919</v>
      </c>
      <c r="B19" s="13" t="s">
        <v>14</v>
      </c>
    </row>
  </sheetData>
  <conditionalFormatting sqref="A1:A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QR Code packing matrix with wei</vt:lpstr>
      <vt:lpstr>QR Code packing matrix</vt:lpstr>
      <vt:lpstr>invoice csv formate field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Gandhi raju</dc:creator>
  <cp:lastModifiedBy>Admin</cp:lastModifiedBy>
  <dcterms:created xsi:type="dcterms:W3CDTF">2023-02-17T08:44:59Z</dcterms:created>
  <dcterms:modified xsi:type="dcterms:W3CDTF">2023-08-16T10:10:47Z</dcterms:modified>
</cp:coreProperties>
</file>